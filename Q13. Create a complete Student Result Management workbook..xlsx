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160" windowHeight="9024"/>
  </bookViews>
  <sheets>
    <sheet name="chart" sheetId="1" r:id="rId1"/>
    <sheet name="student - analysis" sheetId="2" r:id="rId2"/>
    <sheet name="student - data" sheetId="3" r:id="rId3"/>
  </sheets>
  <calcPr calcId="152511"/>
</workbook>
</file>

<file path=xl/calcChain.xml><?xml version="1.0" encoding="utf-8"?>
<calcChain xmlns="http://schemas.openxmlformats.org/spreadsheetml/2006/main">
  <c r="K2" i="1" l="1"/>
  <c r="M2" i="1" s="1"/>
  <c r="O2" i="1"/>
  <c r="K3" i="1"/>
  <c r="M3" i="1" s="1"/>
  <c r="O3" i="1"/>
  <c r="K4" i="1"/>
  <c r="M4" i="1" s="1"/>
  <c r="O4" i="1"/>
  <c r="K5" i="1"/>
  <c r="M5" i="1" s="1"/>
  <c r="O5" i="1"/>
  <c r="K6" i="1"/>
  <c r="M6" i="1" s="1"/>
  <c r="O6" i="1"/>
  <c r="K7" i="1"/>
  <c r="M7" i="1" s="1"/>
  <c r="O7" i="1"/>
  <c r="K8" i="1"/>
  <c r="M8" i="1" s="1"/>
  <c r="O8" i="1"/>
  <c r="K9" i="1"/>
  <c r="M9" i="1" s="1"/>
  <c r="O9" i="1"/>
  <c r="K10" i="1"/>
  <c r="M10" i="1" s="1"/>
  <c r="O10" i="1"/>
  <c r="K11" i="1"/>
  <c r="M11" i="1" s="1"/>
  <c r="O11" i="1"/>
  <c r="K12" i="1"/>
  <c r="M12" i="1" s="1"/>
  <c r="N12" i="1" s="1"/>
  <c r="O12" i="1"/>
  <c r="K13" i="1"/>
  <c r="M13" i="1" s="1"/>
  <c r="O13" i="1"/>
  <c r="K14" i="1"/>
  <c r="M14" i="1" s="1"/>
  <c r="O14" i="1"/>
  <c r="K15" i="1"/>
  <c r="M15" i="1" s="1"/>
  <c r="O15" i="1"/>
  <c r="K16" i="1"/>
  <c r="M16" i="1" s="1"/>
  <c r="N16" i="1" s="1"/>
  <c r="O16" i="1"/>
  <c r="N16" i="3"/>
  <c r="M16" i="3"/>
  <c r="K16" i="3"/>
  <c r="N15" i="3"/>
  <c r="K15" i="3"/>
  <c r="M15" i="3" s="1"/>
  <c r="N14" i="3"/>
  <c r="M14" i="3"/>
  <c r="K14" i="3"/>
  <c r="N13" i="3"/>
  <c r="K13" i="3"/>
  <c r="M13" i="3" s="1"/>
  <c r="N12" i="3"/>
  <c r="M12" i="3"/>
  <c r="K12" i="3"/>
  <c r="N11" i="3"/>
  <c r="K11" i="3"/>
  <c r="M11" i="3" s="1"/>
  <c r="N10" i="3"/>
  <c r="M10" i="3"/>
  <c r="K10" i="3"/>
  <c r="N9" i="3"/>
  <c r="K9" i="3"/>
  <c r="M9" i="3" s="1"/>
  <c r="N8" i="3"/>
  <c r="M8" i="3"/>
  <c r="K8" i="3"/>
  <c r="N7" i="3"/>
  <c r="K7" i="3"/>
  <c r="M7" i="3" s="1"/>
  <c r="N6" i="3"/>
  <c r="M6" i="3"/>
  <c r="K6" i="3"/>
  <c r="N5" i="3"/>
  <c r="K5" i="3"/>
  <c r="M5" i="3" s="1"/>
  <c r="N4" i="3"/>
  <c r="M4" i="3"/>
  <c r="K4" i="3"/>
  <c r="N3" i="3"/>
  <c r="K3" i="3"/>
  <c r="M3" i="3" s="1"/>
  <c r="N2" i="3"/>
  <c r="M2" i="3"/>
  <c r="K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N14" i="1" l="1"/>
  <c r="N10" i="1"/>
  <c r="N8" i="1"/>
  <c r="N6" i="1"/>
  <c r="N4" i="1"/>
  <c r="N15" i="1"/>
  <c r="N13" i="1"/>
  <c r="N11" i="1"/>
  <c r="N9" i="1"/>
  <c r="N7" i="1"/>
  <c r="N5" i="1"/>
  <c r="N3" i="1"/>
  <c r="N2" i="1"/>
</calcChain>
</file>

<file path=xl/sharedStrings.xml><?xml version="1.0" encoding="utf-8"?>
<sst xmlns="http://schemas.openxmlformats.org/spreadsheetml/2006/main" count="295" uniqueCount="53">
  <si>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</si>
  <si>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</si>
  <si>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</si>
  <si>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</si>
  <si>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</si>
  <si>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</si>
  <si>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</si>
  <si>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</si>
  <si>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</si>
  <si>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</si>
  <si>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</si>
  <si>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Rahul Verma</t>
  </si>
  <si>
    <t>Math</t>
  </si>
  <si>
    <t>Science</t>
  </si>
  <si>
    <t>English</t>
  </si>
  <si>
    <t>Neha Sharma</t>
  </si>
  <si>
    <t>Jaipur</t>
  </si>
  <si>
    <t>History</t>
  </si>
  <si>
    <t>Aman Khan</t>
  </si>
  <si>
    <t>Lucknow</t>
  </si>
  <si>
    <t>Computer</t>
  </si>
  <si>
    <t>Pooja Patel</t>
  </si>
  <si>
    <t>Surat</t>
  </si>
  <si>
    <t>Hindi</t>
  </si>
  <si>
    <t>Suresh Das</t>
  </si>
  <si>
    <t>Geography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</si>
  <si>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</si>
  <si>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</si>
  <si>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</si>
  <si>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</si>
  <si>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</si>
  <si>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</si>
  <si>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</si>
  <si>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</si>
  <si>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</si>
  <si>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</si>
  <si>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</si>
  <si>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</si>
  <si>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</si>
  <si>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</si>
  <si>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</si>
  <si>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Punjabi</t>
  </si>
  <si>
    <t>Arjun Mehta</t>
  </si>
  <si>
    <t>Mumbai</t>
  </si>
  <si>
    <t>Kavya Nair</t>
  </si>
  <si>
    <t>Kochi</t>
  </si>
  <si>
    <t>Delhi</t>
  </si>
  <si>
    <t>Pass/Fail</t>
  </si>
  <si>
    <t>COUNT</t>
  </si>
  <si>
    <t>Average</t>
  </si>
  <si>
    <t>MAX</t>
  </si>
  <si>
    <t>Name2</t>
  </si>
  <si>
    <t>COUNT P/F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</si>
</sst>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"/>
  </numFmts>
  <fonts count="2" x14ac:knownFonts="1"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1" fontId="0" fillId="0" borderId="0" xfId="0" applyNumberFormat="1" applyAlignment="1">
      <alignment horizontal="left" inden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634259259259263"/>
          <c:w val="0.89019685039370078"/>
          <c:h val="0.604428040244969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chart!$J$1</c:f>
              <c:strCache>
                <c:ptCount val="1"/>
                <c:pt idx="0">
                  <c:v>Marks3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chart!$I$2:$I$14</c:f>
              <c:strCache>
                <c:ptCount val="13"/>
                <c:pt idx="0">
                  <c:v>English</c:v>
                </c:pt>
                <c:pt idx="1">
                  <c:v>Science</c:v>
                </c:pt>
                <c:pt idx="2">
                  <c:v>Science</c:v>
                </c:pt>
                <c:pt idx="3">
                  <c:v>Hindi</c:v>
                </c:pt>
                <c:pt idx="4">
                  <c:v>Geography</c:v>
                </c:pt>
                <c:pt idx="5">
                  <c:v>English</c:v>
                </c:pt>
                <c:pt idx="6">
                  <c:v>Computer</c:v>
                </c:pt>
                <c:pt idx="7">
                  <c:v>Science</c:v>
                </c:pt>
                <c:pt idx="8">
                  <c:v>English</c:v>
                </c:pt>
                <c:pt idx="9">
                  <c:v>Computer</c:v>
                </c:pt>
                <c:pt idx="10">
                  <c:v>Science</c:v>
                </c:pt>
                <c:pt idx="11">
                  <c:v>Geography</c:v>
                </c:pt>
                <c:pt idx="12">
                  <c:v>Science</c:v>
                </c:pt>
              </c:strCache>
            </c:strRef>
          </c:cat>
          <c:val>
            <c:numRef>
              <c:f>chart!$J$2:$J$14</c:f>
              <c:numCache>
                <c:formatCode>General</c:formatCode>
                <c:ptCount val="13"/>
                <c:pt idx="0">
                  <c:v>75</c:v>
                </c:pt>
                <c:pt idx="1">
                  <c:v>88</c:v>
                </c:pt>
                <c:pt idx="2">
                  <c:v>86</c:v>
                </c:pt>
                <c:pt idx="3">
                  <c:v>40</c:v>
                </c:pt>
                <c:pt idx="4">
                  <c:v>79</c:v>
                </c:pt>
                <c:pt idx="5">
                  <c:v>20</c:v>
                </c:pt>
                <c:pt idx="6">
                  <c:v>94</c:v>
                </c:pt>
                <c:pt idx="7">
                  <c:v>85</c:v>
                </c:pt>
                <c:pt idx="8">
                  <c:v>91</c:v>
                </c:pt>
                <c:pt idx="9">
                  <c:v>82</c:v>
                </c:pt>
                <c:pt idx="10">
                  <c:v>88</c:v>
                </c:pt>
                <c:pt idx="11">
                  <c:v>87</c:v>
                </c:pt>
                <c:pt idx="12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556336"/>
        <c:axId val="328556728"/>
      </c:barChart>
      <c:catAx>
        <c:axId val="3285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56728"/>
        <c:crosses val="autoZero"/>
        <c:auto val="1"/>
        <c:lblAlgn val="ctr"/>
        <c:lblOffset val="100"/>
        <c:noMultiLvlLbl val="0"/>
      </c:catAx>
      <c:valAx>
        <c:axId val="32855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5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chart!$N$1</c:f>
              <c:strCache>
                <c:ptCount val="1"/>
                <c:pt idx="0">
                  <c:v>COUNT P/F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chart!$M$2:$M$16</c:f>
              <c:strCache>
                <c:ptCount val="15"/>
                <c:pt idx="0">
                  <c:v>PASS</c:v>
                </c:pt>
                <c:pt idx="1">
                  <c:v>PASS</c:v>
                </c:pt>
                <c:pt idx="2">
                  <c:v>PASS</c:v>
                </c:pt>
                <c:pt idx="3">
                  <c:v>FAIL</c:v>
                </c:pt>
                <c:pt idx="4">
                  <c:v>PASS</c:v>
                </c:pt>
                <c:pt idx="5">
                  <c:v>FAIL</c:v>
                </c:pt>
                <c:pt idx="6">
                  <c:v>PASS</c:v>
                </c:pt>
                <c:pt idx="7">
                  <c:v>PASS</c:v>
                </c:pt>
                <c:pt idx="8">
                  <c:v>PASS</c:v>
                </c:pt>
                <c:pt idx="9">
                  <c:v>PASS</c:v>
                </c:pt>
                <c:pt idx="10">
                  <c:v>PASS</c:v>
                </c:pt>
                <c:pt idx="11">
                  <c:v>PASS</c:v>
                </c:pt>
                <c:pt idx="12">
                  <c:v>PASS</c:v>
                </c:pt>
                <c:pt idx="13">
                  <c:v>PASS</c:v>
                </c:pt>
                <c:pt idx="14">
                  <c:v>PASS</c:v>
                </c:pt>
              </c:strCache>
            </c:strRef>
          </c:cat>
          <c:val>
            <c:numRef>
              <c:f>chart!$N$2:$N$16</c:f>
              <c:numCache>
                <c:formatCode>General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16</xdr:row>
      <xdr:rowOff>64770</xdr:rowOff>
    </xdr:from>
    <xdr:to>
      <xdr:col>13</xdr:col>
      <xdr:colOff>723900</xdr:colOff>
      <xdr:row>26</xdr:row>
      <xdr:rowOff>217170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160020</xdr:colOff>
      <xdr:row>15</xdr:row>
      <xdr:rowOff>514350</xdr:rowOff>
    </xdr:from>
    <xdr:to>
      <xdr:col>18</xdr:col>
      <xdr:colOff>586740</xdr:colOff>
      <xdr:row>26</xdr:row>
      <xdr:rowOff>148590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16" totalsRowShown="0" headerRowDxfId="1" dataDxfId="2">
  <autoFilter ref="A1:N16"/>
  <tableColumns count="14">
    <tableColumn id="1" name="Name" dataDxfId="14"/>
    <tableColumn id="2" name="Roll No" dataDxfId="13"/>
    <tableColumn id="3" name="Class" dataDxfId="12"/>
    <tableColumn id="4" name="City" dataDxfId="11"/>
    <tableColumn id="5" name="Subj1" dataDxfId="10"/>
    <tableColumn id="6" name="Marks1" dataDxfId="9"/>
    <tableColumn id="7" name="Subj2" dataDxfId="8"/>
    <tableColumn id="8" name="Marks2" dataDxfId="7"/>
    <tableColumn id="9" name="Subj3" dataDxfId="6"/>
    <tableColumn id="10" name="Marks3" dataDxfId="5"/>
    <tableColumn id="11" name="Total Marks" dataDxfId="4">
      <calculatedColumnFormula>SUM(F2+H2+J2)</calculatedColumnFormula>
    </tableColumn>
    <tableColumn id="12" name="Name2" dataDxfId="3"/>
    <tableColumn id="13" name="Pass/Fail">
      <calculatedColumnFormula>IF(K2:K16&gt;120,"PASS","FAIL")</calculatedColumnFormula>
    </tableColumn>
    <tableColumn id="14" name="COUNT">
      <calculatedColumnFormula>COUNTIF(D2:D16,"Delhi")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H1" sqref="H1"/>
    </sheetView>
  </sheetViews>
  <sheetFormatPr defaultRowHeight="20.399999999999999" x14ac:dyDescent="0.35"/>
  <sheetData>
    <row r="1" spans="1:1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8</v>
      </c>
      <c r="J1" s="1" t="s">
        <v>9</v>
      </c>
      <c r="K1" s="1" t="s">
        <v>10</v>
      </c>
      <c r="L1" s="1" t="s">
        <v>0</v>
      </c>
      <c r="M1" s="1" t="s">
        <v>47</v>
      </c>
      <c r="N1" s="1" t="s">
        <v>52</v>
      </c>
      <c r="O1" s="1" t="s">
        <v>48</v>
      </c>
    </row>
    <row r="2" spans="1:15" ht="40.799999999999997" x14ac:dyDescent="0.35">
      <c r="A2" s="2" t="s">
        <v>11</v>
      </c>
      <c r="B2" s="2">
        <v>1</v>
      </c>
      <c r="C2" s="2">
        <v>9</v>
      </c>
      <c r="D2" s="2" t="s">
        <v>46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2">
        <f>SUM(F2+H2+J2)</f>
        <v>235</v>
      </c>
      <c r="L2" s="2" t="s">
        <v>11</v>
      </c>
      <c r="M2" t="str">
        <f>IF(K2:K16&gt;120,"PASS","FAIL")</f>
        <v>PASS</v>
      </c>
      <c r="N2">
        <f>COUNTIF(M2:M16,"PASS")</f>
        <v>13</v>
      </c>
      <c r="O2">
        <f>COUNTIF(D2:D16,"Delhi")</f>
        <v>3</v>
      </c>
    </row>
    <row r="3" spans="1:15" ht="40.799999999999997" x14ac:dyDescent="0.35">
      <c r="A3" s="2" t="s">
        <v>15</v>
      </c>
      <c r="B3" s="2">
        <v>2</v>
      </c>
      <c r="C3" s="2">
        <v>9</v>
      </c>
      <c r="D3" s="2" t="s">
        <v>16</v>
      </c>
      <c r="E3" s="2" t="s">
        <v>14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2">
        <f t="shared" ref="K3:K16" si="0">SUM(F3+H3+J3)</f>
        <v>253</v>
      </c>
      <c r="L3" s="2" t="s">
        <v>15</v>
      </c>
      <c r="M3" t="str">
        <f t="shared" ref="M3:M16" si="1">IF(K3:K17&gt;120,"PASS","FAIL")</f>
        <v>PASS</v>
      </c>
      <c r="N3">
        <f t="shared" ref="N3:N16" si="2">COUNTIF(M3:M17,"PASS")</f>
        <v>12</v>
      </c>
      <c r="O3">
        <f>COUNTIF(D3:D17,"Delhi")</f>
        <v>2</v>
      </c>
    </row>
    <row r="4" spans="1:15" ht="40.799999999999997" x14ac:dyDescent="0.35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2">
        <f t="shared" si="0"/>
        <v>268</v>
      </c>
      <c r="L4" s="2" t="s">
        <v>18</v>
      </c>
      <c r="M4" t="str">
        <f t="shared" si="1"/>
        <v>PASS</v>
      </c>
      <c r="N4">
        <f t="shared" si="2"/>
        <v>11</v>
      </c>
      <c r="O4">
        <f>COUNTIF(D4:D18,"Delhi")</f>
        <v>2</v>
      </c>
    </row>
    <row r="5" spans="1:15" ht="40.799999999999997" x14ac:dyDescent="0.35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2">
        <f t="shared" si="0"/>
        <v>100</v>
      </c>
      <c r="L5" s="2" t="s">
        <v>21</v>
      </c>
      <c r="M5" t="str">
        <f t="shared" si="1"/>
        <v>FAIL</v>
      </c>
      <c r="N5">
        <f t="shared" si="2"/>
        <v>10</v>
      </c>
      <c r="O5">
        <f>COUNTIF(D5:D19,"Delhi")</f>
        <v>2</v>
      </c>
    </row>
    <row r="6" spans="1:15" ht="40.799999999999997" x14ac:dyDescent="0.35">
      <c r="A6" s="2" t="s">
        <v>24</v>
      </c>
      <c r="B6" s="2">
        <v>5</v>
      </c>
      <c r="C6" s="2">
        <v>9</v>
      </c>
      <c r="D6" s="2" t="s">
        <v>46</v>
      </c>
      <c r="E6" s="2" t="s">
        <v>13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2">
        <f t="shared" si="0"/>
        <v>251</v>
      </c>
      <c r="L6" s="2" t="s">
        <v>24</v>
      </c>
      <c r="M6" t="str">
        <f t="shared" si="1"/>
        <v>PASS</v>
      </c>
      <c r="N6">
        <f t="shared" si="2"/>
        <v>10</v>
      </c>
      <c r="O6">
        <f>COUNTIF(D6:D20,"Delhi")</f>
        <v>2</v>
      </c>
    </row>
    <row r="7" spans="1:15" ht="40.799999999999997" x14ac:dyDescent="0.35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2">
        <f t="shared" si="0"/>
        <v>90</v>
      </c>
      <c r="L7" s="2" t="s">
        <v>26</v>
      </c>
      <c r="M7" t="str">
        <f t="shared" si="1"/>
        <v>FAIL</v>
      </c>
      <c r="N7">
        <f t="shared" si="2"/>
        <v>9</v>
      </c>
      <c r="O7">
        <f>COUNTIF(D7:D21,"Delhi")</f>
        <v>1</v>
      </c>
    </row>
    <row r="8" spans="1:15" ht="40.799999999999997" x14ac:dyDescent="0.35">
      <c r="A8" s="2" t="s">
        <v>28</v>
      </c>
      <c r="B8" s="2">
        <v>7</v>
      </c>
      <c r="C8" s="2">
        <v>9</v>
      </c>
      <c r="D8" s="2" t="s">
        <v>29</v>
      </c>
      <c r="E8" s="2" t="s">
        <v>14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2">
        <f t="shared" si="0"/>
        <v>275</v>
      </c>
      <c r="L8" s="2" t="s">
        <v>28</v>
      </c>
      <c r="M8" t="str">
        <f t="shared" si="1"/>
        <v>PASS</v>
      </c>
      <c r="N8">
        <f t="shared" si="2"/>
        <v>9</v>
      </c>
      <c r="O8">
        <f>COUNTIF(D8:D22,"Delhi")</f>
        <v>1</v>
      </c>
    </row>
    <row r="9" spans="1:15" x14ac:dyDescent="0.35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2">
        <f t="shared" si="0"/>
        <v>243</v>
      </c>
      <c r="L9" s="2" t="s">
        <v>30</v>
      </c>
      <c r="M9" t="str">
        <f t="shared" si="1"/>
        <v>PASS</v>
      </c>
      <c r="N9">
        <f t="shared" si="2"/>
        <v>8</v>
      </c>
      <c r="O9">
        <f>COUNTIF(D9:D23,"Delhi")</f>
        <v>1</v>
      </c>
    </row>
    <row r="10" spans="1:15" ht="40.799999999999997" x14ac:dyDescent="0.35">
      <c r="A10" s="2" t="s">
        <v>32</v>
      </c>
      <c r="B10" s="2">
        <v>9</v>
      </c>
      <c r="C10" s="2">
        <v>9</v>
      </c>
      <c r="D10" s="2" t="s">
        <v>33</v>
      </c>
      <c r="E10" s="2" t="s">
        <v>13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2">
        <f t="shared" si="0"/>
        <v>269</v>
      </c>
      <c r="L10" s="2" t="s">
        <v>32</v>
      </c>
      <c r="M10" t="str">
        <f t="shared" si="1"/>
        <v>PASS</v>
      </c>
      <c r="N10">
        <f t="shared" si="2"/>
        <v>7</v>
      </c>
      <c r="O10">
        <f>COUNTIF(D10:D24,"Delhi")</f>
        <v>1</v>
      </c>
    </row>
    <row r="11" spans="1:15" ht="40.799999999999997" x14ac:dyDescent="0.35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2">
        <f t="shared" si="0"/>
        <v>235</v>
      </c>
      <c r="L11" s="2" t="s">
        <v>34</v>
      </c>
      <c r="M11" t="str">
        <f t="shared" si="1"/>
        <v>PASS</v>
      </c>
      <c r="N11">
        <f t="shared" si="2"/>
        <v>6</v>
      </c>
      <c r="O11">
        <f>COUNTIF(D11:D25,"Delhi")</f>
        <v>1</v>
      </c>
    </row>
    <row r="12" spans="1:15" x14ac:dyDescent="0.35">
      <c r="A12" s="2" t="s">
        <v>36</v>
      </c>
      <c r="B12" s="2">
        <v>11</v>
      </c>
      <c r="C12" s="2">
        <v>9</v>
      </c>
      <c r="D12" s="2" t="s">
        <v>37</v>
      </c>
      <c r="E12" s="2" t="s">
        <v>14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2">
        <f t="shared" si="0"/>
        <v>257</v>
      </c>
      <c r="L12" s="2" t="s">
        <v>36</v>
      </c>
      <c r="M12" t="str">
        <f t="shared" si="1"/>
        <v>PASS</v>
      </c>
      <c r="N12">
        <f t="shared" si="2"/>
        <v>5</v>
      </c>
      <c r="O12">
        <f>COUNTIF(D12:D26,"Delhi")</f>
        <v>1</v>
      </c>
    </row>
    <row r="13" spans="1:15" ht="40.799999999999997" x14ac:dyDescent="0.35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2">
        <f t="shared" si="0"/>
        <v>267</v>
      </c>
      <c r="L13" s="2" t="s">
        <v>38</v>
      </c>
      <c r="M13" t="str">
        <f t="shared" si="1"/>
        <v>PASS</v>
      </c>
      <c r="N13">
        <f t="shared" si="2"/>
        <v>4</v>
      </c>
      <c r="O13">
        <f>COUNTIF(D13:D27,"Delhi")</f>
        <v>1</v>
      </c>
    </row>
    <row r="14" spans="1:15" ht="40.799999999999997" x14ac:dyDescent="0.35">
      <c r="A14" s="2" t="s">
        <v>40</v>
      </c>
      <c r="B14" s="2">
        <v>13</v>
      </c>
      <c r="C14" s="2">
        <v>9</v>
      </c>
      <c r="D14" s="2" t="s">
        <v>46</v>
      </c>
      <c r="E14" s="2" t="s">
        <v>14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2">
        <f t="shared" si="0"/>
        <v>243</v>
      </c>
      <c r="L14" s="2" t="s">
        <v>40</v>
      </c>
      <c r="M14" t="str">
        <f t="shared" si="1"/>
        <v>PASS</v>
      </c>
      <c r="N14">
        <f t="shared" si="2"/>
        <v>3</v>
      </c>
      <c r="O14">
        <f>COUNTIF(D14:D28,"Delhi")</f>
        <v>1</v>
      </c>
    </row>
    <row r="15" spans="1:15" ht="40.799999999999997" x14ac:dyDescent="0.35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2">
        <f t="shared" si="0"/>
        <v>275</v>
      </c>
      <c r="L15" s="2" t="s">
        <v>42</v>
      </c>
      <c r="M15" t="str">
        <f t="shared" si="1"/>
        <v>PASS</v>
      </c>
      <c r="N15">
        <f t="shared" si="2"/>
        <v>2</v>
      </c>
      <c r="O15">
        <f>COUNTIF(D15:D29,"Delhi")</f>
        <v>0</v>
      </c>
    </row>
    <row r="16" spans="1:15" ht="40.799999999999997" x14ac:dyDescent="0.35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2">
        <f t="shared" si="0"/>
        <v>260</v>
      </c>
      <c r="L16" s="2" t="s">
        <v>44</v>
      </c>
      <c r="M16" t="str">
        <f t="shared" si="1"/>
        <v>PASS</v>
      </c>
      <c r="N16">
        <f t="shared" si="2"/>
        <v>1</v>
      </c>
      <c r="O16">
        <f>COUNTIF(D16:D30,"Delhi")</f>
        <v>0</v>
      </c>
    </row>
    <row r="17" spans="11:11" x14ac:dyDescent="0.35">
      <c r="K17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B1" workbookViewId="0">
      <selection activeCell="M1" sqref="M1"/>
    </sheetView>
  </sheetViews>
  <sheetFormatPr defaultRowHeight="20.399999999999999" x14ac:dyDescent="0.35"/>
  <cols>
    <col min="11" max="11" width="13.9296875" bestFit="1" customWidth="1"/>
  </cols>
  <sheetData>
    <row r="1" spans="1:12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</v>
      </c>
      <c r="L1" s="1" t="s">
        <v>50</v>
      </c>
    </row>
    <row r="2" spans="1:12" ht="40.799999999999997" x14ac:dyDescent="0.35">
      <c r="A2" s="2" t="s">
        <v>11</v>
      </c>
      <c r="B2" s="2">
        <v>1</v>
      </c>
      <c r="C2" s="2">
        <v>9</v>
      </c>
      <c r="D2" s="2" t="s">
        <v>46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3">
        <f>AVERAGE(J2:J16)</f>
        <v>78.266666666666666</v>
      </c>
      <c r="L2">
        <f>MAX(E2:F16)</f>
        <v>93</v>
      </c>
    </row>
    <row r="3" spans="1:12" ht="40.799999999999997" x14ac:dyDescent="0.35">
      <c r="A3" s="2" t="s">
        <v>15</v>
      </c>
      <c r="B3" s="2">
        <v>2</v>
      </c>
      <c r="C3" s="2">
        <v>9</v>
      </c>
      <c r="D3" s="2" t="s">
        <v>16</v>
      </c>
      <c r="E3" s="2" t="s">
        <v>14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3">
        <f t="shared" ref="K3:K16" si="0">AVERAGE(J3:J17)</f>
        <v>78.5</v>
      </c>
      <c r="L3">
        <f t="shared" ref="L3:L16" si="1">MAX(E3:F17)</f>
        <v>93</v>
      </c>
    </row>
    <row r="4" spans="1:12" ht="40.799999999999997" x14ac:dyDescent="0.35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3">
        <f t="shared" si="0"/>
        <v>77.769230769230774</v>
      </c>
      <c r="L4">
        <f t="shared" si="1"/>
        <v>93</v>
      </c>
    </row>
    <row r="5" spans="1:12" ht="40.799999999999997" x14ac:dyDescent="0.35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3">
        <f t="shared" si="0"/>
        <v>77.083333333333329</v>
      </c>
      <c r="L5">
        <f t="shared" si="1"/>
        <v>93</v>
      </c>
    </row>
    <row r="6" spans="1:12" ht="40.799999999999997" x14ac:dyDescent="0.35">
      <c r="A6" s="2" t="s">
        <v>24</v>
      </c>
      <c r="B6" s="2">
        <v>5</v>
      </c>
      <c r="C6" s="2">
        <v>9</v>
      </c>
      <c r="D6" s="2" t="s">
        <v>46</v>
      </c>
      <c r="E6" s="2" t="s">
        <v>13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3">
        <f t="shared" si="0"/>
        <v>80.454545454545453</v>
      </c>
      <c r="L6">
        <f t="shared" si="1"/>
        <v>93</v>
      </c>
    </row>
    <row r="7" spans="1:12" ht="40.799999999999997" x14ac:dyDescent="0.35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3">
        <f t="shared" si="0"/>
        <v>80.599999999999994</v>
      </c>
      <c r="L7">
        <f t="shared" si="1"/>
        <v>93</v>
      </c>
    </row>
    <row r="8" spans="1:12" ht="40.799999999999997" x14ac:dyDescent="0.35">
      <c r="A8" s="2" t="s">
        <v>28</v>
      </c>
      <c r="B8" s="2">
        <v>7</v>
      </c>
      <c r="C8" s="2">
        <v>9</v>
      </c>
      <c r="D8" s="2" t="s">
        <v>29</v>
      </c>
      <c r="E8" s="2" t="s">
        <v>14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3">
        <f t="shared" si="0"/>
        <v>87.333333333333329</v>
      </c>
      <c r="L8">
        <f t="shared" si="1"/>
        <v>93</v>
      </c>
    </row>
    <row r="9" spans="1:12" x14ac:dyDescent="0.35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3">
        <f t="shared" si="0"/>
        <v>86.5</v>
      </c>
      <c r="L9">
        <f t="shared" si="1"/>
        <v>93</v>
      </c>
    </row>
    <row r="10" spans="1:12" ht="40.799999999999997" x14ac:dyDescent="0.35">
      <c r="A10" s="2" t="s">
        <v>32</v>
      </c>
      <c r="B10" s="2">
        <v>9</v>
      </c>
      <c r="C10" s="2">
        <v>9</v>
      </c>
      <c r="D10" s="2" t="s">
        <v>33</v>
      </c>
      <c r="E10" s="2" t="s">
        <v>13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3">
        <f t="shared" si="0"/>
        <v>86.714285714285708</v>
      </c>
      <c r="L10">
        <f t="shared" si="1"/>
        <v>93</v>
      </c>
    </row>
    <row r="11" spans="1:12" ht="40.799999999999997" x14ac:dyDescent="0.35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3">
        <f t="shared" si="0"/>
        <v>86</v>
      </c>
      <c r="L11">
        <f t="shared" si="1"/>
        <v>93</v>
      </c>
    </row>
    <row r="12" spans="1:12" x14ac:dyDescent="0.35">
      <c r="A12" s="2" t="s">
        <v>36</v>
      </c>
      <c r="B12" s="2">
        <v>11</v>
      </c>
      <c r="C12" s="2">
        <v>9</v>
      </c>
      <c r="D12" s="2" t="s">
        <v>37</v>
      </c>
      <c r="E12" s="2" t="s">
        <v>14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3">
        <f t="shared" si="0"/>
        <v>86.8</v>
      </c>
      <c r="L12">
        <f t="shared" si="1"/>
        <v>93</v>
      </c>
    </row>
    <row r="13" spans="1:12" ht="40.799999999999997" x14ac:dyDescent="0.35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3">
        <f t="shared" si="0"/>
        <v>86.5</v>
      </c>
      <c r="L13">
        <f t="shared" si="1"/>
        <v>93</v>
      </c>
    </row>
    <row r="14" spans="1:12" ht="40.799999999999997" x14ac:dyDescent="0.35">
      <c r="A14" s="2" t="s">
        <v>40</v>
      </c>
      <c r="B14" s="2">
        <v>13</v>
      </c>
      <c r="C14" s="2">
        <v>9</v>
      </c>
      <c r="D14" s="2" t="s">
        <v>46</v>
      </c>
      <c r="E14" s="2" t="s">
        <v>14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3">
        <f t="shared" si="0"/>
        <v>86.333333333333329</v>
      </c>
      <c r="L14">
        <f t="shared" si="1"/>
        <v>93</v>
      </c>
    </row>
    <row r="15" spans="1:12" ht="40.799999999999997" x14ac:dyDescent="0.35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3">
        <f t="shared" si="0"/>
        <v>90.5</v>
      </c>
      <c r="L15">
        <f t="shared" si="1"/>
        <v>93</v>
      </c>
    </row>
    <row r="16" spans="1:12" ht="40.799999999999997" x14ac:dyDescent="0.35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3">
        <f t="shared" si="0"/>
        <v>89</v>
      </c>
      <c r="L16">
        <f t="shared" si="1"/>
        <v>87</v>
      </c>
    </row>
  </sheetData>
  <conditionalFormatting sqref="A1:L16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D1" workbookViewId="0">
      <selection activeCell="J17" sqref="J16:J17"/>
    </sheetView>
  </sheetViews>
  <sheetFormatPr defaultRowHeight="20.399999999999999" x14ac:dyDescent="0.35"/>
  <cols>
    <col min="11" max="11" width="11.86328125" customWidth="1"/>
    <col min="13" max="13" width="9.6640625" customWidth="1"/>
  </cols>
  <sheetData>
    <row r="1" spans="1:14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47</v>
      </c>
      <c r="N1" s="1" t="s">
        <v>48</v>
      </c>
    </row>
    <row r="2" spans="1:14" ht="40.799999999999997" x14ac:dyDescent="0.35">
      <c r="A2" s="2" t="s">
        <v>11</v>
      </c>
      <c r="B2" s="2">
        <v>1</v>
      </c>
      <c r="C2" s="2">
        <v>9</v>
      </c>
      <c r="D2" s="2" t="s">
        <v>46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2">
        <f>SUM(F2+H2+J2)</f>
        <v>235</v>
      </c>
      <c r="L2" s="2" t="s">
        <v>11</v>
      </c>
      <c r="M2" t="str">
        <f>IF(K2:K16&gt;120,"PASS","FAIL")</f>
        <v>PASS</v>
      </c>
      <c r="N2">
        <f>COUNTIF(D2:D16,"Delhi")</f>
        <v>3</v>
      </c>
    </row>
    <row r="3" spans="1:14" ht="40.799999999999997" x14ac:dyDescent="0.35">
      <c r="A3" s="2" t="s">
        <v>15</v>
      </c>
      <c r="B3" s="2">
        <v>2</v>
      </c>
      <c r="C3" s="2">
        <v>9</v>
      </c>
      <c r="D3" s="2" t="s">
        <v>16</v>
      </c>
      <c r="E3" s="2" t="s">
        <v>14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2">
        <f t="shared" ref="K3:K16" si="0">SUM(F3+H3+J3)</f>
        <v>253</v>
      </c>
      <c r="L3" s="2" t="s">
        <v>15</v>
      </c>
      <c r="M3" t="str">
        <f t="shared" ref="M3:M16" si="1">IF(K3:K17&gt;120,"PASS","FAIL")</f>
        <v>PASS</v>
      </c>
      <c r="N3">
        <f t="shared" ref="N3:N16" si="2">COUNTIF(D3:D17,"Delhi")</f>
        <v>2</v>
      </c>
    </row>
    <row r="4" spans="1:14" ht="40.799999999999997" x14ac:dyDescent="0.35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2">
        <f t="shared" si="0"/>
        <v>268</v>
      </c>
      <c r="L4" s="2" t="s">
        <v>18</v>
      </c>
      <c r="M4" t="str">
        <f t="shared" si="1"/>
        <v>PASS</v>
      </c>
      <c r="N4">
        <f t="shared" si="2"/>
        <v>2</v>
      </c>
    </row>
    <row r="5" spans="1:14" ht="40.799999999999997" x14ac:dyDescent="0.35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2">
        <f t="shared" si="0"/>
        <v>100</v>
      </c>
      <c r="L5" s="2" t="s">
        <v>21</v>
      </c>
      <c r="M5" t="str">
        <f t="shared" si="1"/>
        <v>FAIL</v>
      </c>
      <c r="N5">
        <f t="shared" si="2"/>
        <v>2</v>
      </c>
    </row>
    <row r="6" spans="1:14" ht="40.799999999999997" x14ac:dyDescent="0.35">
      <c r="A6" s="2" t="s">
        <v>24</v>
      </c>
      <c r="B6" s="2">
        <v>5</v>
      </c>
      <c r="C6" s="2">
        <v>9</v>
      </c>
      <c r="D6" s="2" t="s">
        <v>46</v>
      </c>
      <c r="E6" s="2" t="s">
        <v>13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2">
        <f t="shared" si="0"/>
        <v>251</v>
      </c>
      <c r="L6" s="2" t="s">
        <v>24</v>
      </c>
      <c r="M6" t="str">
        <f t="shared" si="1"/>
        <v>PASS</v>
      </c>
      <c r="N6">
        <f t="shared" si="2"/>
        <v>2</v>
      </c>
    </row>
    <row r="7" spans="1:14" ht="40.799999999999997" x14ac:dyDescent="0.35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2">
        <f t="shared" si="0"/>
        <v>90</v>
      </c>
      <c r="L7" s="2" t="s">
        <v>26</v>
      </c>
      <c r="M7" t="str">
        <f t="shared" si="1"/>
        <v>FAIL</v>
      </c>
      <c r="N7">
        <f t="shared" si="2"/>
        <v>1</v>
      </c>
    </row>
    <row r="8" spans="1:14" ht="40.799999999999997" x14ac:dyDescent="0.35">
      <c r="A8" s="2" t="s">
        <v>28</v>
      </c>
      <c r="B8" s="2">
        <v>7</v>
      </c>
      <c r="C8" s="2">
        <v>9</v>
      </c>
      <c r="D8" s="2" t="s">
        <v>29</v>
      </c>
      <c r="E8" s="2" t="s">
        <v>14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2">
        <f t="shared" si="0"/>
        <v>275</v>
      </c>
      <c r="L8" s="2" t="s">
        <v>28</v>
      </c>
      <c r="M8" t="str">
        <f t="shared" si="1"/>
        <v>PASS</v>
      </c>
      <c r="N8">
        <f t="shared" si="2"/>
        <v>1</v>
      </c>
    </row>
    <row r="9" spans="1:14" x14ac:dyDescent="0.35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2">
        <f t="shared" si="0"/>
        <v>243</v>
      </c>
      <c r="L9" s="2" t="s">
        <v>30</v>
      </c>
      <c r="M9" t="str">
        <f t="shared" si="1"/>
        <v>PASS</v>
      </c>
      <c r="N9">
        <f t="shared" si="2"/>
        <v>1</v>
      </c>
    </row>
    <row r="10" spans="1:14" ht="40.799999999999997" x14ac:dyDescent="0.35">
      <c r="A10" s="2" t="s">
        <v>32</v>
      </c>
      <c r="B10" s="2">
        <v>9</v>
      </c>
      <c r="C10" s="2">
        <v>9</v>
      </c>
      <c r="D10" s="2" t="s">
        <v>33</v>
      </c>
      <c r="E10" s="2" t="s">
        <v>13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2">
        <f t="shared" si="0"/>
        <v>269</v>
      </c>
      <c r="L10" s="2" t="s">
        <v>32</v>
      </c>
      <c r="M10" t="str">
        <f t="shared" si="1"/>
        <v>PASS</v>
      </c>
      <c r="N10">
        <f t="shared" si="2"/>
        <v>1</v>
      </c>
    </row>
    <row r="11" spans="1:14" ht="40.799999999999997" x14ac:dyDescent="0.35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2">
        <f t="shared" si="0"/>
        <v>235</v>
      </c>
      <c r="L11" s="2" t="s">
        <v>34</v>
      </c>
      <c r="M11" t="str">
        <f t="shared" si="1"/>
        <v>PASS</v>
      </c>
      <c r="N11">
        <f t="shared" si="2"/>
        <v>1</v>
      </c>
    </row>
    <row r="12" spans="1:14" x14ac:dyDescent="0.35">
      <c r="A12" s="2" t="s">
        <v>36</v>
      </c>
      <c r="B12" s="2">
        <v>11</v>
      </c>
      <c r="C12" s="2">
        <v>9</v>
      </c>
      <c r="D12" s="2" t="s">
        <v>37</v>
      </c>
      <c r="E12" s="2" t="s">
        <v>14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2">
        <f t="shared" si="0"/>
        <v>257</v>
      </c>
      <c r="L12" s="2" t="s">
        <v>36</v>
      </c>
      <c r="M12" t="str">
        <f t="shared" si="1"/>
        <v>PASS</v>
      </c>
      <c r="N12">
        <f t="shared" si="2"/>
        <v>1</v>
      </c>
    </row>
    <row r="13" spans="1:14" ht="40.799999999999997" x14ac:dyDescent="0.35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2">
        <f t="shared" si="0"/>
        <v>267</v>
      </c>
      <c r="L13" s="2" t="s">
        <v>38</v>
      </c>
      <c r="M13" t="str">
        <f t="shared" si="1"/>
        <v>PASS</v>
      </c>
      <c r="N13">
        <f t="shared" si="2"/>
        <v>1</v>
      </c>
    </row>
    <row r="14" spans="1:14" ht="40.799999999999997" x14ac:dyDescent="0.35">
      <c r="A14" s="2" t="s">
        <v>40</v>
      </c>
      <c r="B14" s="2">
        <v>13</v>
      </c>
      <c r="C14" s="2">
        <v>9</v>
      </c>
      <c r="D14" s="2" t="s">
        <v>46</v>
      </c>
      <c r="E14" s="2" t="s">
        <v>14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2">
        <f t="shared" si="0"/>
        <v>243</v>
      </c>
      <c r="L14" s="2" t="s">
        <v>40</v>
      </c>
      <c r="M14" t="str">
        <f t="shared" si="1"/>
        <v>PASS</v>
      </c>
      <c r="N14">
        <f t="shared" si="2"/>
        <v>1</v>
      </c>
    </row>
    <row r="15" spans="1:14" ht="40.799999999999997" x14ac:dyDescent="0.35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2">
        <f t="shared" si="0"/>
        <v>275</v>
      </c>
      <c r="L15" s="2" t="s">
        <v>42</v>
      </c>
      <c r="M15" t="str">
        <f t="shared" si="1"/>
        <v>PASS</v>
      </c>
      <c r="N15">
        <f t="shared" si="2"/>
        <v>0</v>
      </c>
    </row>
    <row r="16" spans="1:14" ht="40.799999999999997" x14ac:dyDescent="0.35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2">
        <f t="shared" si="0"/>
        <v>260</v>
      </c>
      <c r="L16" s="2" t="s">
        <v>44</v>
      </c>
      <c r="M16" t="str">
        <f t="shared" si="1"/>
        <v>PASS</v>
      </c>
      <c r="N16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student - analysis</vt:lpstr>
      <vt:lpstr>student -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hgb</cp:lastModifiedBy>
  <dcterms:created xsi:type="dcterms:W3CDTF">2025-12-21T10:26:24Z</dcterms:created>
  <dcterms:modified xsi:type="dcterms:W3CDTF">2025-12-22T10:30:18Z</dcterms:modified>
</cp:coreProperties>
</file>